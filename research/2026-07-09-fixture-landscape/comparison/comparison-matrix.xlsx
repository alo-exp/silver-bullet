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Matrix" sheetId="1" state="visible" r:id="rId1"/>
  </sheets>
  <definedNames>
    <definedName name="_xlnm._FilterDatabase" localSheetId="0" hidden="1">'Comparison Matrix'!$A$2:$G$2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F9999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Internal Developer Portals — Capability Comparison Matrix</t>
        </is>
      </c>
      <c r="B1" s="11" t="n"/>
      <c r="C1" s="11" t="n"/>
      <c r="D1" s="11" t="n"/>
      <c r="E1" s="11" t="n"/>
      <c r="F1" s="11" t="n"/>
      <c r="G1" s="12" t="n"/>
    </row>
    <row r="2" ht="30" customHeight="1">
      <c r="A2" s="2" t="inlineStr">
        <is>
          <t>Capability / Feature</t>
        </is>
      </c>
      <c r="B2" s="2" t="inlineStr">
        <is>
          <t>Priority</t>
        </is>
      </c>
      <c r="C2" s="2" t="inlineStr">
        <is>
          <t>backstage</t>
        </is>
      </c>
      <c r="D2" s="2" t="inlineStr">
        <is>
          <t>compass</t>
        </is>
      </c>
      <c r="E2" s="2" t="inlineStr">
        <is>
          <t>cortex</t>
        </is>
      </c>
      <c r="F2" s="2" t="inlineStr">
        <is>
          <t>port</t>
        </is>
      </c>
      <c r="G2" s="2" t="inlineStr">
        <is>
          <t>roadie</t>
        </is>
      </c>
    </row>
    <row r="3">
      <c r="A3" s="3" t="inlineStr">
        <is>
          <t>Total Capabilities</t>
        </is>
      </c>
      <c r="B3" s="4" t="inlineStr">
        <is>
          <t>—</t>
        </is>
      </c>
      <c r="C3" s="4">
        <f>COUNTIF(C5:C1048576,"?*")</f>
        <v/>
      </c>
      <c r="D3" s="4">
        <f>COUNTIF(D5:D1048576,"?*")</f>
        <v/>
      </c>
      <c r="E3" s="4">
        <f>COUNTIF(E5:E1048576,"?*")</f>
        <v/>
      </c>
      <c r="F3" s="4">
        <f>COUNTIF(F5:F1048576,"?*")</f>
        <v/>
      </c>
      <c r="G3" s="4">
        <f>COUNTIF(G5:G1048576,"?*")</f>
        <v/>
      </c>
    </row>
    <row r="4">
      <c r="A4" s="3" t="inlineStr">
        <is>
          <t>Score</t>
        </is>
      </c>
      <c r="B4" s="4" t="inlineStr">
        <is>
          <t>—</t>
        </is>
      </c>
      <c r="C4" s="4">
        <f>COUNTIFS($B$5:$B$1048576,"Critical",C$5:C$1048576,"?*")*5+COUNTIFS($B$5:$B$1048576,"Very High",C$5:C$1048576,"?*")*4+COUNTIFS($B$5:$B$1048576,"High",C$5:C$1048576,"?*")*3+COUNTIFS($B$5:$B$1048576,"Medium",C$5:C$1048576,"?*")*2+COUNTIFS($B$5:$B$1048576,"Low",C$5:C$1048576,"?*")*1</f>
        <v/>
      </c>
      <c r="D4" s="4">
        <f>COUNTIFS($B$5:$B$1048576,"Critical",D$5:D$1048576,"?*")*5+COUNTIFS($B$5:$B$1048576,"Very High",D$5:D$1048576,"?*")*4+COUNTIFS($B$5:$B$1048576,"High",D$5:D$1048576,"?*")*3+COUNTIFS($B$5:$B$1048576,"Medium",D$5:D$1048576,"?*")*2+COUNTIFS($B$5:$B$1048576,"Low",D$5:D$1048576,"?*")*1</f>
        <v/>
      </c>
      <c r="E4" s="4">
        <f>COUNTIFS($B$5:$B$1048576,"Critical",E$5:E$1048576,"?*")*5+COUNTIFS($B$5:$B$1048576,"Very High",E$5:E$1048576,"?*")*4+COUNTIFS($B$5:$B$1048576,"High",E$5:E$1048576,"?*")*3+COUNTIFS($B$5:$B$1048576,"Medium",E$5:E$1048576,"?*")*2+COUNTIFS($B$5:$B$1048576,"Low",E$5:E$1048576,"?*")*1</f>
        <v/>
      </c>
      <c r="F4" s="4">
        <f>COUNTIFS($B$5:$B$1048576,"Critical",F$5:F$1048576,"?*")*5+COUNTIFS($B$5:$B$1048576,"Very High",F$5:F$1048576,"?*")*4+COUNTIFS($B$5:$B$1048576,"High",F$5:F$1048576,"?*")*3+COUNTIFS($B$5:$B$1048576,"Medium",F$5:F$1048576,"?*")*2+COUNTIFS($B$5:$B$1048576,"Low",F$5:F$1048576,"?*")*1</f>
        <v/>
      </c>
      <c r="G4" s="4">
        <f>COUNTIFS($B$5:$B$1048576,"Critical",G$5:G$1048576,"?*")*5+COUNTIFS($B$5:$B$1048576,"Very High",G$5:G$1048576,"?*")*4+COUNTIFS($B$5:$B$1048576,"High",G$5:G$1048576,"?*")*3+COUNTIFS($B$5:$B$1048576,"Medium",G$5:G$1048576,"?*")*2+COUNTIFS($B$5:$B$1048576,"Low",G$5:G$1048576,"?*")*1</f>
        <v/>
      </c>
    </row>
    <row r="5" ht="22" customHeight="1">
      <c r="A5" s="5" t="inlineStr">
        <is>
          <t>Core</t>
        </is>
      </c>
      <c r="B5" s="11" t="n"/>
      <c r="C5" s="11" t="n"/>
      <c r="D5" s="11" t="n"/>
      <c r="E5" s="11" t="n"/>
      <c r="F5" s="11" t="n"/>
      <c r="G5" s="12" t="n"/>
    </row>
    <row r="6">
      <c r="A6" s="6" t="inlineStr">
        <is>
          <t>SSO</t>
        </is>
      </c>
      <c r="B6" s="7" t="inlineStr">
        <is>
          <t>Critical</t>
        </is>
      </c>
      <c r="C6" s="8" t="inlineStr">
        <is>
          <t>✔</t>
        </is>
      </c>
      <c r="D6" s="8" t="inlineStr">
        <is>
          <t>✔</t>
        </is>
      </c>
      <c r="E6" s="8" t="inlineStr">
        <is>
          <t>✔</t>
        </is>
      </c>
      <c r="F6" s="8" t="inlineStr">
        <is>
          <t>✔</t>
        </is>
      </c>
      <c r="G6" s="8" t="inlineStr">
        <is>
          <t>✔</t>
        </is>
      </c>
    </row>
    <row r="7">
      <c r="A7" s="6" t="inlineStr">
        <is>
          <t>Self-hosting</t>
        </is>
      </c>
      <c r="B7" s="9" t="inlineStr">
        <is>
          <t>Medium</t>
        </is>
      </c>
      <c r="C7" s="8" t="inlineStr">
        <is>
          <t>✔</t>
        </is>
      </c>
      <c r="D7" s="10" t="n"/>
      <c r="E7" s="10" t="n"/>
      <c r="F7" s="10" t="n"/>
      <c r="G7" s="10" t="n"/>
    </row>
  </sheetData>
  <autoFilter ref="A2:G2"/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2026-07-17T16:05:16Z</dcterms:created>
  <dcterms:modified xsi:type="dcterms:W3CDTF">2026-07-17T16:05:16Z</dcterms:modified>
</cp:coreProperties>
</file>